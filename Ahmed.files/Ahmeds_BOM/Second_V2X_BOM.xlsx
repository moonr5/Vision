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hmed Youssef\OneDrive\Desktop\"/>
    </mc:Choice>
  </mc:AlternateContent>
  <xr:revisionPtr revIDLastSave="0" documentId="13_ncr:1_{45CE54AE-85B6-4D35-BA5E-AC97F9951C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M_V2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G28" i="1"/>
  <c r="F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28" i="1" l="1"/>
  <c r="H29" i="1" s="1"/>
</calcChain>
</file>

<file path=xl/sharedStrings.xml><?xml version="1.0" encoding="utf-8"?>
<sst xmlns="http://schemas.openxmlformats.org/spreadsheetml/2006/main" count="112" uniqueCount="64">
  <si>
    <t>Item Description</t>
  </si>
  <si>
    <t>Part Number</t>
  </si>
  <si>
    <t>Quantity Required</t>
  </si>
  <si>
    <t>Unit Cost (Rupiah)</t>
  </si>
  <si>
    <t>Total Cost (Rupiah)</t>
  </si>
  <si>
    <t>Discount Applied</t>
  </si>
  <si>
    <t>Extra Fees (Net Shipping + Insurance + App Fees)</t>
  </si>
  <si>
    <t>Final Total Paid</t>
  </si>
  <si>
    <t>Status</t>
  </si>
  <si>
    <t>Supplier Contact</t>
  </si>
  <si>
    <t>Notes</t>
  </si>
  <si>
    <t>M2M IoT</t>
  </si>
  <si>
    <t>Renewal</t>
  </si>
  <si>
    <t>Purchase Completed</t>
  </si>
  <si>
    <t>Battery Capacity Tester</t>
  </si>
  <si>
    <t xml:space="preserve">ZB2L3 </t>
  </si>
  <si>
    <t>Link</t>
  </si>
  <si>
    <t>Current Sensor</t>
  </si>
  <si>
    <t>ACS712</t>
  </si>
  <si>
    <t xml:space="preserve">Micro SD Card </t>
  </si>
  <si>
    <t>16GB</t>
  </si>
  <si>
    <t>INA226</t>
  </si>
  <si>
    <t>18650 Batteries</t>
  </si>
  <si>
    <t>3000mAh</t>
  </si>
  <si>
    <t>BMS</t>
  </si>
  <si>
    <t>1S 15A</t>
  </si>
  <si>
    <t>SIM7600G</t>
  </si>
  <si>
    <t>4G Lte</t>
  </si>
  <si>
    <t>Power Bank Module</t>
  </si>
  <si>
    <t>5V 2A</t>
  </si>
  <si>
    <t>DC-DC Step Up Boost Converter</t>
  </si>
  <si>
    <t xml:space="preserve">XL6009 </t>
  </si>
  <si>
    <t>Battery Shield</t>
  </si>
  <si>
    <t>4Slot</t>
  </si>
  <si>
    <t>Step Up Boost</t>
  </si>
  <si>
    <t>MT3608</t>
  </si>
  <si>
    <t>USB Voltmeter</t>
  </si>
  <si>
    <t>Voltmeter</t>
  </si>
  <si>
    <t>Capacitor</t>
  </si>
  <si>
    <t>1000uF</t>
  </si>
  <si>
    <t>ESP32</t>
  </si>
  <si>
    <t>WROOM WIFI Bluetooth</t>
  </si>
  <si>
    <t>Claude Subscription</t>
  </si>
  <si>
    <t>Subscription</t>
  </si>
  <si>
    <t>To fix the bugs and clean the code</t>
  </si>
  <si>
    <t>Sim Subscription</t>
  </si>
  <si>
    <t>Telkomsel</t>
  </si>
  <si>
    <t>LM2596 Step Down</t>
  </si>
  <si>
    <t>CC CV 3A</t>
  </si>
  <si>
    <t>Battery Charger</t>
  </si>
  <si>
    <t xml:space="preserve">TP5100 </t>
  </si>
  <si>
    <t>Pillar Support</t>
  </si>
  <si>
    <t>M2 12/15mm</t>
  </si>
  <si>
    <t>Screws &amp; Nuts</t>
  </si>
  <si>
    <t>M2</t>
  </si>
  <si>
    <t>38 Pins - Type-C</t>
  </si>
  <si>
    <t>Thermal Pad</t>
  </si>
  <si>
    <t>0.5mm</t>
  </si>
  <si>
    <t>ELM327 OBD2</t>
  </si>
  <si>
    <t>BLUETOOTH &amp; WIFI</t>
  </si>
  <si>
    <t>Water Level Sensor</t>
  </si>
  <si>
    <t>PCB (JLCPCB)</t>
  </si>
  <si>
    <t>Production and Shipping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</si>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</sst>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Rp]#,##0"/>
  </numFmts>
  <fonts count="13" x14ac:knownFonts="1">
    <font>
      <sz val="10"/>
      <color rgb="FF000000"/>
      <name val="Arial"/>
      <scheme val="minor"/>
    </font>
    <font>
      <b/>
      <sz val="12"/>
      <color theme="1"/>
      <name val="Roboto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b/>
      <sz val="10"/>
      <color rgb="FF434343"/>
      <name val="Roboto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5DFD7"/>
        <bgColor rgb="FFD5DFD7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0" fontId="11" fillId="5" borderId="6" xfId="0" applyFont="1" applyFill="1" applyBorder="1" applyAlignment="1">
      <alignment horizontal="center" wrapText="1"/>
    </xf>
    <xf numFmtId="164" fontId="11" fillId="5" borderId="6" xfId="0" applyNumberFormat="1" applyFont="1" applyFill="1" applyBorder="1" applyAlignment="1">
      <alignment horizontal="center" wrapText="1"/>
    </xf>
    <xf numFmtId="164" fontId="11" fillId="5" borderId="7" xfId="0" applyNumberFormat="1" applyFont="1" applyFill="1" applyBorder="1" applyAlignment="1">
      <alignment horizontal="center" wrapText="1"/>
    </xf>
    <xf numFmtId="164" fontId="11" fillId="5" borderId="8" xfId="0" applyNumberFormat="1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1" fillId="5" borderId="4" xfId="0" applyFont="1" applyFill="1" applyBorder="1" applyAlignment="1">
      <alignment horizontal="center" wrapText="1"/>
    </xf>
    <xf numFmtId="0" fontId="12" fillId="0" borderId="5" xfId="0" applyFont="1" applyBorder="1"/>
  </cellXfs>
  <cellStyles count="1">
    <cellStyle name="Normal" xfId="0" builtinId="0"/>
  </cellStyles>
  <dxfs count="5"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D1D4D2"/>
          <bgColor rgb="FFD1D4D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1">
    <tableStyle name="BOM_V2X-style" pivot="0" count="5" xr9:uid="{00000000-0011-0000-FFFF-FFFF00000000}">
      <tableStyleElement type="wholeTable" size="0" dxfId="0"/>
      <tableStyleElement type="headerRow" dxfId="4"/>
      <tableStyleElement type="totalRow" dxfId="1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" displayName="BOM" ref="A1:K27" totalsRowShown="0">
  <tableColumns count="11">
    <tableColumn id="1" xr3:uid="{00000000-0010-0000-0000-000001000000}" name="Item Description"/>
    <tableColumn id="2" xr3:uid="{00000000-0010-0000-0000-000002000000}" name="Part Number"/>
    <tableColumn id="3" xr3:uid="{00000000-0010-0000-0000-000003000000}" name="Quantity Required"/>
    <tableColumn id="4" xr3:uid="{00000000-0010-0000-0000-000004000000}" name="Unit Cost (Rupiah)"/>
    <tableColumn id="5" xr3:uid="{00000000-0010-0000-0000-000005000000}" name="Total Cost (Rupiah)"/>
    <tableColumn id="6" xr3:uid="{00000000-0010-0000-0000-000006000000}" name="Discount Applied"/>
    <tableColumn id="7" xr3:uid="{00000000-0010-0000-0000-000007000000}" name="Extra Fees (Net Shipping + Insurance + App Fees)"/>
    <tableColumn id="8" xr3:uid="{00000000-0010-0000-0000-000008000000}" name="Final Total Paid"/>
    <tableColumn id="9" xr3:uid="{00000000-0010-0000-0000-000009000000}" name="Status"/>
    <tableColumn id="10" xr3:uid="{00000000-0010-0000-0000-00000A000000}" name="Supplier Contact"/>
    <tableColumn id="11" xr3:uid="{00000000-0010-0000-0000-00000B000000}" name="Notes"/>
  </tableColumns>
  <tableStyleInfo name="BOM_V2X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HsHKgTd/" TargetMode="External"/><Relationship Id="rId13" Type="http://schemas.openxmlformats.org/officeDocument/2006/relationships/hyperlink" Target="https://tk.tokopedia.com/ZSHsxBVW6/" TargetMode="External"/><Relationship Id="rId18" Type="http://schemas.openxmlformats.org/officeDocument/2006/relationships/hyperlink" Target="https://tk.tokopedia.com/ZS9tY42Up/" TargetMode="External"/><Relationship Id="rId3" Type="http://schemas.openxmlformats.org/officeDocument/2006/relationships/hyperlink" Target="https://tk.tokopedia.com/ZSumPeTSB/" TargetMode="External"/><Relationship Id="rId21" Type="http://schemas.openxmlformats.org/officeDocument/2006/relationships/hyperlink" Target="https://tk.tokopedia.com/ZSxHWEk9S/" TargetMode="External"/><Relationship Id="rId7" Type="http://schemas.openxmlformats.org/officeDocument/2006/relationships/hyperlink" Target="https://tk.tokopedia.com/ZSHMGpBpe/" TargetMode="External"/><Relationship Id="rId12" Type="http://schemas.openxmlformats.org/officeDocument/2006/relationships/hyperlink" Target="https://tk.tokopedia.com/ZSHW4Y1xg/" TargetMode="External"/><Relationship Id="rId17" Type="http://schemas.openxmlformats.org/officeDocument/2006/relationships/hyperlink" Target="https://tk.tokopedia.com/ZS9tYYm3S/" TargetMode="External"/><Relationship Id="rId2" Type="http://schemas.openxmlformats.org/officeDocument/2006/relationships/hyperlink" Target="https://tk.tokopedia.com/ZSuDF8oDG/" TargetMode="External"/><Relationship Id="rId16" Type="http://schemas.openxmlformats.org/officeDocument/2006/relationships/hyperlink" Target="https://tk.tokopedia.com/ZS9GouRBr/" TargetMode="External"/><Relationship Id="rId20" Type="http://schemas.openxmlformats.org/officeDocument/2006/relationships/hyperlink" Target="https://tk.tokopedia.com/ZSxjPw1UG/" TargetMode="External"/><Relationship Id="rId1" Type="http://schemas.openxmlformats.org/officeDocument/2006/relationships/hyperlink" Target="https://tk.tokopedia.com/ZSuDNEvD2/" TargetMode="External"/><Relationship Id="rId6" Type="http://schemas.openxmlformats.org/officeDocument/2006/relationships/hyperlink" Target="https://tk.tokopedia.com/ZSHLJbv1f/" TargetMode="External"/><Relationship Id="rId11" Type="http://schemas.openxmlformats.org/officeDocument/2006/relationships/hyperlink" Target="https://tk.tokopedia.com/ZSHWXKEkK/" TargetMode="External"/><Relationship Id="rId5" Type="http://schemas.openxmlformats.org/officeDocument/2006/relationships/hyperlink" Target="https://tk.tokopedia.com/ZSHL1a9bp/" TargetMode="External"/><Relationship Id="rId15" Type="http://schemas.openxmlformats.org/officeDocument/2006/relationships/hyperlink" Target="https://tk.tokopedia.com/ZS9GoxRBG/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https://tk.tokopedia.com/ZSHWXKQrs/" TargetMode="External"/><Relationship Id="rId19" Type="http://schemas.openxmlformats.org/officeDocument/2006/relationships/hyperlink" Target="https://tk.tokopedia.com/ZSxjPLBnG/" TargetMode="External"/><Relationship Id="rId4" Type="http://schemas.openxmlformats.org/officeDocument/2006/relationships/hyperlink" Target="https://tk.tokopedia.com/ZSuuM96mx/" TargetMode="External"/><Relationship Id="rId9" Type="http://schemas.openxmlformats.org/officeDocument/2006/relationships/hyperlink" Target="https://tk.tokopedia.com/ZSHW4dnoT/" TargetMode="External"/><Relationship Id="rId14" Type="http://schemas.openxmlformats.org/officeDocument/2006/relationships/hyperlink" Target="https://tk.tokopedia.com/ZS9UNs6Ds/" TargetMode="External"/><Relationship Id="rId22" Type="http://schemas.openxmlformats.org/officeDocument/2006/relationships/hyperlink" Target="https://tk.tokopedia.com/ZSxHW7VT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29"/>
  <sheetViews>
    <sheetView tabSelected="1" workbookViewId="0">
      <pane ySplit="1" topLeftCell="A2" activePane="bottomLeft" state="frozen"/>
      <selection pane="bottomLeft" activeCell="A27" sqref="A27"/>
    </sheetView>
  </sheetViews>
  <sheetFormatPr defaultColWidth="12.6328125" defaultRowHeight="15.75" customHeight="1" x14ac:dyDescent="0.25"/>
  <cols>
    <col min="1" max="1" width="35.90625" customWidth="1"/>
    <col min="2" max="2" width="20.90625" customWidth="1"/>
    <col min="3" max="3" width="23.6328125" customWidth="1"/>
    <col min="4" max="5" width="20.08984375" customWidth="1"/>
    <col min="6" max="6" width="24" customWidth="1"/>
    <col min="7" max="7" width="28.6328125" customWidth="1"/>
    <col min="8" max="8" width="22.6328125" customWidth="1"/>
    <col min="9" max="9" width="25.6328125" customWidth="1"/>
    <col min="10" max="10" width="23.453125" customWidth="1"/>
    <col min="11" max="11" width="53.6328125" customWidth="1"/>
  </cols>
  <sheetData>
    <row r="1" spans="1:11" ht="36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25">
      <c r="A2" s="6" t="s">
        <v>11</v>
      </c>
      <c r="B2" s="7" t="s">
        <v>12</v>
      </c>
      <c r="C2" s="7">
        <v>1</v>
      </c>
      <c r="D2" s="8">
        <v>35000</v>
      </c>
      <c r="E2" s="9">
        <f t="shared" ref="E2:E20" si="0">C2*D2</f>
        <v>35000</v>
      </c>
      <c r="F2" s="9">
        <v>0</v>
      </c>
      <c r="G2" s="10">
        <v>0</v>
      </c>
      <c r="H2" s="10">
        <v>35000</v>
      </c>
      <c r="I2" s="11" t="s">
        <v>13</v>
      </c>
      <c r="J2" s="12"/>
      <c r="K2" s="13"/>
    </row>
    <row r="3" spans="1:11" ht="22.5" customHeight="1" x14ac:dyDescent="0.25">
      <c r="A3" s="6" t="s">
        <v>14</v>
      </c>
      <c r="B3" s="7" t="s">
        <v>15</v>
      </c>
      <c r="C3" s="7">
        <v>1</v>
      </c>
      <c r="D3" s="8">
        <v>25500</v>
      </c>
      <c r="E3" s="9">
        <f t="shared" si="0"/>
        <v>25500</v>
      </c>
      <c r="F3" s="9">
        <v>0</v>
      </c>
      <c r="G3" s="10">
        <v>24931</v>
      </c>
      <c r="H3" s="10">
        <v>50431</v>
      </c>
      <c r="I3" s="11" t="s">
        <v>13</v>
      </c>
      <c r="J3" s="14" t="s">
        <v>16</v>
      </c>
      <c r="K3" s="13"/>
    </row>
    <row r="4" spans="1:11" ht="22.5" customHeight="1" x14ac:dyDescent="0.25">
      <c r="A4" s="6" t="s">
        <v>17</v>
      </c>
      <c r="B4" s="15" t="s">
        <v>18</v>
      </c>
      <c r="C4" s="15">
        <v>1</v>
      </c>
      <c r="D4" s="9">
        <v>14900</v>
      </c>
      <c r="E4" s="9">
        <f t="shared" si="0"/>
        <v>14900</v>
      </c>
      <c r="F4" s="9">
        <v>0</v>
      </c>
      <c r="G4" s="9">
        <v>14569</v>
      </c>
      <c r="H4" s="9">
        <v>29469</v>
      </c>
      <c r="I4" s="16" t="s">
        <v>13</v>
      </c>
      <c r="J4" s="14" t="s">
        <v>16</v>
      </c>
      <c r="K4" s="17"/>
    </row>
    <row r="5" spans="1:11" ht="22.5" customHeight="1" x14ac:dyDescent="0.25">
      <c r="A5" s="6" t="s">
        <v>19</v>
      </c>
      <c r="B5" s="7" t="s">
        <v>20</v>
      </c>
      <c r="C5" s="7">
        <v>1</v>
      </c>
      <c r="D5" s="8">
        <v>345000</v>
      </c>
      <c r="E5" s="9">
        <f t="shared" si="0"/>
        <v>345000</v>
      </c>
      <c r="F5" s="9">
        <v>276000</v>
      </c>
      <c r="G5" s="10">
        <v>20934</v>
      </c>
      <c r="H5" s="10">
        <v>89934</v>
      </c>
      <c r="I5" s="11" t="s">
        <v>13</v>
      </c>
      <c r="J5" s="14" t="s">
        <v>16</v>
      </c>
      <c r="K5" s="13"/>
    </row>
    <row r="6" spans="1:11" ht="22.5" customHeight="1" x14ac:dyDescent="0.25">
      <c r="A6" s="6" t="s">
        <v>17</v>
      </c>
      <c r="B6" s="7" t="s">
        <v>21</v>
      </c>
      <c r="C6" s="7">
        <v>1</v>
      </c>
      <c r="D6" s="8">
        <v>19000</v>
      </c>
      <c r="E6" s="9">
        <f t="shared" si="0"/>
        <v>19000</v>
      </c>
      <c r="F6" s="9">
        <v>0</v>
      </c>
      <c r="G6" s="10">
        <v>11816</v>
      </c>
      <c r="H6" s="10">
        <v>30816</v>
      </c>
      <c r="I6" s="11" t="s">
        <v>13</v>
      </c>
      <c r="J6" s="14" t="s">
        <v>16</v>
      </c>
      <c r="K6" s="13"/>
    </row>
    <row r="7" spans="1:11" ht="22.5" customHeight="1" x14ac:dyDescent="0.25">
      <c r="A7" s="6" t="s">
        <v>22</v>
      </c>
      <c r="B7" s="7" t="s">
        <v>23</v>
      </c>
      <c r="C7" s="7">
        <v>3</v>
      </c>
      <c r="D7" s="8">
        <v>75000</v>
      </c>
      <c r="E7" s="9">
        <f t="shared" si="0"/>
        <v>225000</v>
      </c>
      <c r="F7" s="9">
        <v>56300</v>
      </c>
      <c r="G7" s="10">
        <v>26514</v>
      </c>
      <c r="H7" s="10">
        <v>195214</v>
      </c>
      <c r="I7" s="11" t="s">
        <v>13</v>
      </c>
      <c r="J7" s="14" t="s">
        <v>16</v>
      </c>
      <c r="K7" s="13"/>
    </row>
    <row r="8" spans="1:11" ht="22.5" customHeight="1" x14ac:dyDescent="0.25">
      <c r="A8" s="6" t="s">
        <v>24</v>
      </c>
      <c r="B8" s="7" t="s">
        <v>25</v>
      </c>
      <c r="C8" s="7">
        <v>2</v>
      </c>
      <c r="D8" s="8">
        <v>8000</v>
      </c>
      <c r="E8" s="9">
        <f t="shared" si="0"/>
        <v>16000</v>
      </c>
      <c r="F8" s="9">
        <v>0</v>
      </c>
      <c r="G8" s="10">
        <v>13786</v>
      </c>
      <c r="H8" s="10">
        <v>29786</v>
      </c>
      <c r="I8" s="11" t="s">
        <v>13</v>
      </c>
      <c r="J8" s="14" t="s">
        <v>16</v>
      </c>
      <c r="K8" s="13"/>
    </row>
    <row r="9" spans="1:11" ht="22.5" customHeight="1" x14ac:dyDescent="0.25">
      <c r="A9" s="6" t="s">
        <v>26</v>
      </c>
      <c r="B9" s="7" t="s">
        <v>27</v>
      </c>
      <c r="C9" s="7">
        <v>1</v>
      </c>
      <c r="D9" s="8">
        <v>985000</v>
      </c>
      <c r="E9" s="9">
        <f t="shared" si="0"/>
        <v>985000</v>
      </c>
      <c r="F9" s="9">
        <v>0</v>
      </c>
      <c r="G9" s="10">
        <v>26600</v>
      </c>
      <c r="H9" s="10">
        <v>1011600</v>
      </c>
      <c r="I9" s="11" t="s">
        <v>13</v>
      </c>
      <c r="J9" s="14" t="s">
        <v>16</v>
      </c>
      <c r="K9" s="13"/>
    </row>
    <row r="10" spans="1:11" ht="22.5" customHeight="1" x14ac:dyDescent="0.25">
      <c r="A10" s="6" t="s">
        <v>28</v>
      </c>
      <c r="B10" s="7" t="s">
        <v>29</v>
      </c>
      <c r="C10" s="7">
        <v>1</v>
      </c>
      <c r="D10" s="8">
        <v>24257</v>
      </c>
      <c r="E10" s="9">
        <f t="shared" si="0"/>
        <v>24257</v>
      </c>
      <c r="F10" s="9">
        <v>0</v>
      </c>
      <c r="G10" s="10">
        <v>22142</v>
      </c>
      <c r="H10" s="10">
        <v>46399</v>
      </c>
      <c r="I10" s="11" t="s">
        <v>13</v>
      </c>
      <c r="J10" s="14" t="s">
        <v>16</v>
      </c>
      <c r="K10" s="13"/>
    </row>
    <row r="11" spans="1:11" ht="22.5" customHeight="1" x14ac:dyDescent="0.25">
      <c r="A11" s="18" t="s">
        <v>30</v>
      </c>
      <c r="B11" s="19" t="s">
        <v>31</v>
      </c>
      <c r="C11" s="19">
        <v>1</v>
      </c>
      <c r="D11" s="20">
        <v>26000</v>
      </c>
      <c r="E11" s="21">
        <f t="shared" si="0"/>
        <v>26000</v>
      </c>
      <c r="F11" s="21">
        <v>0</v>
      </c>
      <c r="G11" s="22">
        <v>14918</v>
      </c>
      <c r="H11" s="22">
        <v>40918</v>
      </c>
      <c r="I11" s="11" t="s">
        <v>13</v>
      </c>
      <c r="J11" s="23" t="s">
        <v>16</v>
      </c>
      <c r="K11" s="24"/>
    </row>
    <row r="12" spans="1:11" ht="22.5" customHeight="1" x14ac:dyDescent="0.25">
      <c r="A12" s="6" t="s">
        <v>32</v>
      </c>
      <c r="B12" s="7" t="s">
        <v>33</v>
      </c>
      <c r="C12" s="7">
        <v>1</v>
      </c>
      <c r="D12" s="8">
        <v>102000</v>
      </c>
      <c r="E12" s="9">
        <f t="shared" si="0"/>
        <v>102000</v>
      </c>
      <c r="F12" s="9">
        <v>0</v>
      </c>
      <c r="G12" s="10">
        <v>9130</v>
      </c>
      <c r="H12" s="10">
        <v>111130</v>
      </c>
      <c r="I12" s="11" t="s">
        <v>13</v>
      </c>
      <c r="J12" s="25" t="s">
        <v>16</v>
      </c>
      <c r="K12" s="13"/>
    </row>
    <row r="13" spans="1:11" ht="22.5" customHeight="1" x14ac:dyDescent="0.25">
      <c r="A13" s="18" t="s">
        <v>34</v>
      </c>
      <c r="B13" s="19" t="s">
        <v>35</v>
      </c>
      <c r="C13" s="19">
        <v>2</v>
      </c>
      <c r="D13" s="20">
        <v>10900</v>
      </c>
      <c r="E13" s="21">
        <f t="shared" si="0"/>
        <v>21800</v>
      </c>
      <c r="F13" s="21">
        <v>0</v>
      </c>
      <c r="G13" s="22">
        <v>9129</v>
      </c>
      <c r="H13" s="22">
        <v>30929</v>
      </c>
      <c r="I13" s="11" t="s">
        <v>13</v>
      </c>
      <c r="J13" s="23" t="s">
        <v>16</v>
      </c>
      <c r="K13" s="24"/>
    </row>
    <row r="14" spans="1:11" ht="22.5" customHeight="1" x14ac:dyDescent="0.25">
      <c r="A14" s="6" t="s">
        <v>36</v>
      </c>
      <c r="B14" s="7" t="s">
        <v>37</v>
      </c>
      <c r="C14" s="7">
        <v>1</v>
      </c>
      <c r="D14" s="8">
        <v>71500</v>
      </c>
      <c r="E14" s="9">
        <f t="shared" si="0"/>
        <v>71500</v>
      </c>
      <c r="F14" s="9">
        <v>0</v>
      </c>
      <c r="G14" s="10">
        <v>8823</v>
      </c>
      <c r="H14" s="10">
        <v>80323</v>
      </c>
      <c r="I14" s="11" t="s">
        <v>13</v>
      </c>
      <c r="J14" s="25" t="s">
        <v>16</v>
      </c>
      <c r="K14" s="13"/>
    </row>
    <row r="15" spans="1:11" ht="22.5" customHeight="1" x14ac:dyDescent="0.25">
      <c r="A15" s="18" t="s">
        <v>38</v>
      </c>
      <c r="B15" s="19" t="s">
        <v>39</v>
      </c>
      <c r="C15" s="19">
        <v>1</v>
      </c>
      <c r="D15" s="20">
        <v>1500</v>
      </c>
      <c r="E15" s="21">
        <f t="shared" si="0"/>
        <v>1500</v>
      </c>
      <c r="F15" s="21">
        <v>0</v>
      </c>
      <c r="G15" s="22">
        <v>7158</v>
      </c>
      <c r="H15" s="22">
        <v>8658</v>
      </c>
      <c r="I15" s="11" t="s">
        <v>13</v>
      </c>
      <c r="J15" s="23" t="s">
        <v>16</v>
      </c>
      <c r="K15" s="24"/>
    </row>
    <row r="16" spans="1:11" ht="22.5" customHeight="1" x14ac:dyDescent="0.25">
      <c r="A16" s="26" t="s">
        <v>40</v>
      </c>
      <c r="B16" s="27" t="s">
        <v>41</v>
      </c>
      <c r="C16" s="27">
        <v>1</v>
      </c>
      <c r="D16" s="28">
        <v>67900</v>
      </c>
      <c r="E16" s="29">
        <f t="shared" si="0"/>
        <v>67900</v>
      </c>
      <c r="F16" s="29">
        <v>0</v>
      </c>
      <c r="G16" s="30">
        <v>12023</v>
      </c>
      <c r="H16" s="30">
        <v>79923</v>
      </c>
      <c r="I16" s="31" t="s">
        <v>13</v>
      </c>
      <c r="J16" s="32" t="s">
        <v>16</v>
      </c>
      <c r="K16" s="33"/>
    </row>
    <row r="17" spans="1:11" ht="22.5" customHeight="1" x14ac:dyDescent="0.25">
      <c r="A17" s="18" t="s">
        <v>42</v>
      </c>
      <c r="B17" s="19" t="s">
        <v>43</v>
      </c>
      <c r="C17" s="19">
        <v>1</v>
      </c>
      <c r="D17" s="20">
        <v>355837</v>
      </c>
      <c r="E17" s="21">
        <f t="shared" si="0"/>
        <v>355837</v>
      </c>
      <c r="F17" s="21">
        <v>0</v>
      </c>
      <c r="G17" s="22">
        <v>0</v>
      </c>
      <c r="H17" s="22">
        <v>355837</v>
      </c>
      <c r="I17" s="34" t="s">
        <v>13</v>
      </c>
      <c r="J17" s="35"/>
      <c r="K17" s="24" t="s">
        <v>44</v>
      </c>
    </row>
    <row r="18" spans="1:11" ht="22.5" customHeight="1" x14ac:dyDescent="0.25">
      <c r="A18" s="26" t="s">
        <v>45</v>
      </c>
      <c r="B18" s="27" t="s">
        <v>46</v>
      </c>
      <c r="C18" s="27">
        <v>1</v>
      </c>
      <c r="D18" s="28">
        <v>50000</v>
      </c>
      <c r="E18" s="29">
        <f t="shared" si="0"/>
        <v>50000</v>
      </c>
      <c r="F18" s="29">
        <v>0</v>
      </c>
      <c r="G18" s="30">
        <v>0</v>
      </c>
      <c r="H18" s="30">
        <v>50000</v>
      </c>
      <c r="I18" s="31" t="s">
        <v>13</v>
      </c>
      <c r="J18" s="36"/>
      <c r="K18" s="33"/>
    </row>
    <row r="19" spans="1:11" ht="22.5" customHeight="1" x14ac:dyDescent="0.25">
      <c r="A19" s="18" t="s">
        <v>47</v>
      </c>
      <c r="B19" s="19" t="s">
        <v>48</v>
      </c>
      <c r="C19" s="19">
        <v>1</v>
      </c>
      <c r="D19" s="20">
        <v>17900</v>
      </c>
      <c r="E19" s="21">
        <f t="shared" si="0"/>
        <v>17900</v>
      </c>
      <c r="F19" s="21">
        <v>0</v>
      </c>
      <c r="G19" s="22">
        <v>16095</v>
      </c>
      <c r="H19" s="22">
        <v>33995</v>
      </c>
      <c r="I19" s="34" t="s">
        <v>13</v>
      </c>
      <c r="J19" s="23" t="s">
        <v>16</v>
      </c>
      <c r="K19" s="24"/>
    </row>
    <row r="20" spans="1:11" ht="22.5" customHeight="1" x14ac:dyDescent="0.25">
      <c r="A20" s="26" t="s">
        <v>49</v>
      </c>
      <c r="B20" s="36" t="s">
        <v>50</v>
      </c>
      <c r="C20" s="27">
        <v>2</v>
      </c>
      <c r="D20" s="28">
        <v>9125</v>
      </c>
      <c r="E20" s="29">
        <f t="shared" si="0"/>
        <v>18250</v>
      </c>
      <c r="F20" s="29">
        <v>0</v>
      </c>
      <c r="G20" s="30">
        <v>19805</v>
      </c>
      <c r="H20" s="30">
        <v>33055</v>
      </c>
      <c r="I20" s="31" t="s">
        <v>13</v>
      </c>
      <c r="J20" s="32" t="s">
        <v>16</v>
      </c>
      <c r="K20" s="33"/>
    </row>
    <row r="21" spans="1:11" ht="22.5" customHeight="1" x14ac:dyDescent="0.25">
      <c r="A21" s="18" t="s">
        <v>51</v>
      </c>
      <c r="B21" s="19" t="s">
        <v>52</v>
      </c>
      <c r="C21" s="19">
        <v>10</v>
      </c>
      <c r="D21" s="20">
        <v>10125</v>
      </c>
      <c r="E21" s="20">
        <f t="shared" ref="E21:E22" si="1">1*D21</f>
        <v>10125</v>
      </c>
      <c r="F21" s="21">
        <v>0</v>
      </c>
      <c r="G21" s="22">
        <v>12052</v>
      </c>
      <c r="H21" s="22">
        <v>22177</v>
      </c>
      <c r="I21" s="34" t="s">
        <v>13</v>
      </c>
      <c r="J21" s="23" t="s">
        <v>16</v>
      </c>
      <c r="K21" s="24"/>
    </row>
    <row r="22" spans="1:11" ht="22.5" customHeight="1" x14ac:dyDescent="0.25">
      <c r="A22" s="26" t="s">
        <v>53</v>
      </c>
      <c r="B22" s="27" t="s">
        <v>54</v>
      </c>
      <c r="C22" s="27">
        <v>30</v>
      </c>
      <c r="D22" s="28">
        <v>18500</v>
      </c>
      <c r="E22" s="28">
        <f t="shared" si="1"/>
        <v>18500</v>
      </c>
      <c r="F22" s="29">
        <v>0</v>
      </c>
      <c r="G22" s="30">
        <v>12348</v>
      </c>
      <c r="H22" s="30">
        <v>30848</v>
      </c>
      <c r="I22" s="31" t="s">
        <v>13</v>
      </c>
      <c r="J22" s="37" t="s">
        <v>16</v>
      </c>
      <c r="K22" s="33"/>
    </row>
    <row r="23" spans="1:11" ht="22.5" customHeight="1" x14ac:dyDescent="0.25">
      <c r="A23" s="18" t="s">
        <v>40</v>
      </c>
      <c r="B23" s="19" t="s">
        <v>55</v>
      </c>
      <c r="C23" s="19">
        <v>1</v>
      </c>
      <c r="D23" s="20">
        <v>135500</v>
      </c>
      <c r="E23" s="20">
        <f t="shared" ref="E23:E27" si="2">C23*D23</f>
        <v>135500</v>
      </c>
      <c r="F23" s="21">
        <v>15000</v>
      </c>
      <c r="G23" s="22">
        <v>17400</v>
      </c>
      <c r="H23" s="22">
        <v>137900</v>
      </c>
      <c r="I23" s="34" t="s">
        <v>13</v>
      </c>
      <c r="J23" s="23" t="s">
        <v>16</v>
      </c>
      <c r="K23" s="24"/>
    </row>
    <row r="24" spans="1:11" ht="22.5" customHeight="1" x14ac:dyDescent="0.25">
      <c r="A24" s="38" t="s">
        <v>56</v>
      </c>
      <c r="B24" s="39" t="s">
        <v>57</v>
      </c>
      <c r="C24" s="39">
        <v>1</v>
      </c>
      <c r="D24" s="40">
        <v>65714</v>
      </c>
      <c r="E24" s="40">
        <f t="shared" si="2"/>
        <v>65714</v>
      </c>
      <c r="F24" s="41">
        <v>19714</v>
      </c>
      <c r="G24" s="42">
        <v>17400</v>
      </c>
      <c r="H24" s="42">
        <v>62600</v>
      </c>
      <c r="I24" s="43" t="s">
        <v>13</v>
      </c>
      <c r="J24" s="44" t="s">
        <v>16</v>
      </c>
      <c r="K24" s="45"/>
    </row>
    <row r="25" spans="1:11" ht="22.5" customHeight="1" x14ac:dyDescent="0.25">
      <c r="A25" s="18" t="s">
        <v>58</v>
      </c>
      <c r="B25" s="19" t="s">
        <v>59</v>
      </c>
      <c r="C25" s="19">
        <v>1</v>
      </c>
      <c r="D25" s="20">
        <v>145000</v>
      </c>
      <c r="E25" s="20">
        <f t="shared" si="2"/>
        <v>145000</v>
      </c>
      <c r="F25" s="21">
        <v>20000</v>
      </c>
      <c r="G25" s="22">
        <v>22500</v>
      </c>
      <c r="H25" s="22">
        <v>147500</v>
      </c>
      <c r="I25" s="34" t="s">
        <v>13</v>
      </c>
      <c r="J25" s="23" t="s">
        <v>16</v>
      </c>
      <c r="K25" s="24"/>
    </row>
    <row r="26" spans="1:11" ht="22.5" customHeight="1" x14ac:dyDescent="0.25">
      <c r="A26" s="6" t="s">
        <v>60</v>
      </c>
      <c r="B26" s="7"/>
      <c r="C26" s="7">
        <v>1</v>
      </c>
      <c r="D26" s="8">
        <v>5000</v>
      </c>
      <c r="E26" s="8">
        <f t="shared" si="2"/>
        <v>5000</v>
      </c>
      <c r="F26" s="9">
        <v>0</v>
      </c>
      <c r="G26" s="10">
        <v>7100</v>
      </c>
      <c r="H26" s="10">
        <v>12100</v>
      </c>
      <c r="I26" s="11" t="s">
        <v>13</v>
      </c>
      <c r="J26" s="25" t="s">
        <v>16</v>
      </c>
      <c r="K26" s="13"/>
    </row>
    <row r="27" spans="1:11" ht="22.5" customHeight="1" x14ac:dyDescent="0.25">
      <c r="A27" s="18" t="s">
        <v>61</v>
      </c>
      <c r="B27" s="19" t="s">
        <v>62</v>
      </c>
      <c r="C27" s="19">
        <v>1</v>
      </c>
      <c r="D27" s="20">
        <v>1362000</v>
      </c>
      <c r="E27" s="20">
        <f t="shared" si="2"/>
        <v>1362000</v>
      </c>
      <c r="F27" s="21">
        <v>0</v>
      </c>
      <c r="G27" s="22">
        <v>438889</v>
      </c>
      <c r="H27" s="22">
        <v>1800889</v>
      </c>
      <c r="I27" s="34" t="s">
        <v>13</v>
      </c>
      <c r="J27" s="35"/>
      <c r="K27" s="24"/>
    </row>
    <row r="28" spans="1:11" ht="13" x14ac:dyDescent="0.3">
      <c r="A28" s="53" t="s">
        <v>63</v>
      </c>
      <c r="B28" s="54"/>
      <c r="C28" s="46"/>
      <c r="D28" s="46"/>
      <c r="E28" s="47">
        <f>SUM(E2:E27)</f>
        <v>4164183</v>
      </c>
      <c r="F28" s="48">
        <f>SUM(F2:F27)</f>
        <v>387014</v>
      </c>
      <c r="G28" s="49">
        <f>SUM(BOM[[#Data],[#Totals],[Extra Fees (Net Shipping + Insurance + App Fees)]])</f>
        <v>786062</v>
      </c>
      <c r="H28" s="49">
        <f>SUM(H2:H27)</f>
        <v>4557431</v>
      </c>
      <c r="I28" s="50"/>
      <c r="J28" s="46"/>
      <c r="K28" s="46"/>
    </row>
    <row r="29" spans="1:11" ht="12.5" x14ac:dyDescent="0.25">
      <c r="A29" s="51"/>
      <c r="B29" s="51"/>
      <c r="C29" s="51"/>
      <c r="F29" s="51"/>
      <c r="H29" s="52">
        <f>H28-E28</f>
        <v>393248</v>
      </c>
      <c r="I29" s="51"/>
      <c r="J29" s="51"/>
    </row>
  </sheetData>
  <mergeCells count="1">
    <mergeCell ref="A28:B28"/>
  </mergeCells>
  <dataValidations count="3">
    <dataValidation type="list" allowBlank="1" sqref="I2:I27" xr:uid="{00000000-0002-0000-0000-000000000000}">
      <formula1>"Not started,Pending Purchase,Cancelled,Purchase Completed"</formula1>
    </dataValidation>
    <dataValidation allowBlank="1" showDropDown="1" sqref="A2:A27 J2:K27" xr:uid="{00000000-0002-0000-0000-000002000000}"/>
    <dataValidation type="custom" allowBlank="1" showDropDown="1" sqref="F2:H27" xr:uid="{00000000-0002-0000-0000-000003000000}">
      <formula1>AND(ISNUMBER(F2),(NOT(OR(NOT(ISERROR(DATEVALUE(F2))), AND(ISNUMBER(F2), LEFT(CELL("format", F2))="D")))))</formula1>
    </dataValidation>
  </dataValidations>
  <hyperlinks>
    <hyperlink ref="J3" r:id="rId1" xr:uid="{00000000-0004-0000-0000-000000000000}"/>
    <hyperlink ref="J4" r:id="rId2" xr:uid="{00000000-0004-0000-0000-000001000000}"/>
    <hyperlink ref="J5" r:id="rId3" xr:uid="{00000000-0004-0000-0000-000002000000}"/>
    <hyperlink ref="J6" r:id="rId4" xr:uid="{00000000-0004-0000-0000-000003000000}"/>
    <hyperlink ref="J7" r:id="rId5" xr:uid="{00000000-0004-0000-0000-000004000000}"/>
    <hyperlink ref="J8" r:id="rId6" xr:uid="{00000000-0004-0000-0000-000005000000}"/>
    <hyperlink ref="J9" r:id="rId7" xr:uid="{00000000-0004-0000-0000-000006000000}"/>
    <hyperlink ref="J10" r:id="rId8" xr:uid="{00000000-0004-0000-0000-000007000000}"/>
    <hyperlink ref="J11" r:id="rId9" xr:uid="{00000000-0004-0000-0000-000008000000}"/>
    <hyperlink ref="J12" r:id="rId10" xr:uid="{00000000-0004-0000-0000-000009000000}"/>
    <hyperlink ref="J13" r:id="rId11" xr:uid="{00000000-0004-0000-0000-00000A000000}"/>
    <hyperlink ref="J14" r:id="rId12" xr:uid="{00000000-0004-0000-0000-00000B000000}"/>
    <hyperlink ref="J15" r:id="rId13" xr:uid="{00000000-0004-0000-0000-00000C000000}"/>
    <hyperlink ref="J16" r:id="rId14" xr:uid="{00000000-0004-0000-0000-00000D000000}"/>
    <hyperlink ref="J19" r:id="rId15" xr:uid="{00000000-0004-0000-0000-00000E000000}"/>
    <hyperlink ref="J20" r:id="rId16" xr:uid="{00000000-0004-0000-0000-00000F000000}"/>
    <hyperlink ref="J21" r:id="rId17" xr:uid="{00000000-0004-0000-0000-000010000000}"/>
    <hyperlink ref="J22" r:id="rId18" xr:uid="{00000000-0004-0000-0000-000011000000}"/>
    <hyperlink ref="J23" r:id="rId19" xr:uid="{00000000-0004-0000-0000-000012000000}"/>
    <hyperlink ref="J24" r:id="rId20" xr:uid="{00000000-0004-0000-0000-000013000000}"/>
    <hyperlink ref="J25" r:id="rId21" xr:uid="{00000000-0004-0000-0000-000014000000}"/>
    <hyperlink ref="J26" r:id="rId22" xr:uid="{00000000-0004-0000-0000-000015000000}"/>
  </hyperlinks>
  <printOptions horizontalCentered="1" gridLines="1"/>
  <pageMargins left="0.7" right="0.7" top="0.75" bottom="0.75" header="0" footer="0"/>
  <pageSetup pageOrder="overThenDown" orientation="landscape" cellComments="atEnd"/>
  <tableParts count="1"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BOM_V2X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Youssef</cp:lastModifiedBy>
  <dcterms:modified xsi:type="dcterms:W3CDTF">2026-06-17T21:53:34Z</dcterms:modified>
</cp:coreProperties>
</file>