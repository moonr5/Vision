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hmed Youssef\OneDrive\Desktop\"/>
    </mc:Choice>
  </mc:AlternateContent>
  <xr:revisionPtr revIDLastSave="0" documentId="13_ncr:1_{2B3EC5C4-B91B-4757-8887-85392613A95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OM_V2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G26" i="1"/>
  <c r="F26" i="1"/>
  <c r="C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26" i="1" s="1"/>
  <c r="H27" i="1" l="1"/>
</calcChain>
</file>

<file path=xl/sharedStrings.xml><?xml version="1.0" encoding="utf-8"?>
<sst xmlns="http://schemas.openxmlformats.org/spreadsheetml/2006/main" count="122" uniqueCount="72">
  <si>
    <t>Item Description</t>
  </si>
  <si>
    <t>Part Number</t>
  </si>
  <si>
    <t>Quantity Required</t>
  </si>
  <si>
    <t>Unit Cost (Rupiah)</t>
  </si>
  <si>
    <t>Total Cost (Rupiah)</t>
  </si>
  <si>
    <t>Discount Applied</t>
  </si>
  <si>
    <t>Extra Fees (Net Shipping + Insurance + App Fees)</t>
  </si>
  <si>
    <t>Final Total Paid</t>
  </si>
  <si>
    <t>Status</t>
  </si>
  <si>
    <t>Supplier Contact</t>
  </si>
  <si>
    <t>Notes</t>
  </si>
  <si>
    <t>Lilygo Module</t>
  </si>
  <si>
    <t>T-SIM7080G S3</t>
  </si>
  <si>
    <t>Purchase Completed</t>
  </si>
  <si>
    <t>Link</t>
  </si>
  <si>
    <t>Tool LILYGO T-SIM7080G-S3 ESP32-S3 SIM7080 Development Board Supports Cat-M NB-Iot WIFI Bluetooth 5.0 With GPS Flash 16MB PSRAM 8MB - SIM7080G</t>
  </si>
  <si>
    <t>ESP32-C3</t>
  </si>
  <si>
    <t>Mini devkitM Wifi Bluetooth</t>
  </si>
  <si>
    <t>Board YD-ESP32-C3 RISC-V DevKitM-1 WIFI Bluetooth BLE 5.0 Dual Type-C</t>
  </si>
  <si>
    <t>SimCom</t>
  </si>
  <si>
    <t>SIM7080G</t>
  </si>
  <si>
    <t>SIMCOM SIM7080G board with GPS and 4G</t>
  </si>
  <si>
    <t>BMS</t>
  </si>
  <si>
    <t>Lithium 18650</t>
  </si>
  <si>
    <t>BMS 3S 12V 20A 18650 Lithium Battery Charger Protection PCB Module Board</t>
  </si>
  <si>
    <t>Battery Charger</t>
  </si>
  <si>
    <t>Polymer V1039</t>
  </si>
  <si>
    <t>Battery Charger Step Up Modul USB Type-C Charging 2S 3S 4S 18650 Lithium Li-ion LiPo Polymer V1039</t>
  </si>
  <si>
    <t>Voltage Regulator</t>
  </si>
  <si>
    <t>LM2596</t>
  </si>
  <si>
    <t>LM2596 adjustable DC-DC step-down power Supply module</t>
  </si>
  <si>
    <t>MicroSD module</t>
  </si>
  <si>
    <t>MicroSD Module</t>
  </si>
  <si>
    <t>High Speed SD Card &amp; MicroSD 2in1 Module Card Reader Writer Data</t>
  </si>
  <si>
    <t>Micro Limit Switch</t>
  </si>
  <si>
    <t>For OBD-II detection</t>
  </si>
  <si>
    <t>Switch Roller</t>
  </si>
  <si>
    <t>For fuel cap For OBD-II detection</t>
  </si>
  <si>
    <t>Magnetic Limit Switch</t>
  </si>
  <si>
    <t>MC-38</t>
  </si>
  <si>
    <t>Sensor to back door (cargo door) detection</t>
  </si>
  <si>
    <t>M2M Sim Card</t>
  </si>
  <si>
    <t>Telkomsel 2G 4G - 25 MB</t>
  </si>
  <si>
    <t>Sim card inserted in the SimCom for internet</t>
  </si>
  <si>
    <t>WiFi Antena</t>
  </si>
  <si>
    <t>2.4GHz</t>
  </si>
  <si>
    <t>For simulating the fake data</t>
  </si>
  <si>
    <t>Bus Transceiver</t>
  </si>
  <si>
    <t>CJMCU-230</t>
  </si>
  <si>
    <t>Transmiter between the OBD2 and ESP32</t>
  </si>
  <si>
    <t>Serial Logic Level Converter</t>
  </si>
  <si>
    <t>4 Channel I2C</t>
  </si>
  <si>
    <t>This module takes the 5V signal and steps it down to 3.3V for the ESP32. Also takes 3.3V from the ESP32 and steps it up to 5V for the sensor.</t>
  </si>
  <si>
    <t>OBD-II Connector</t>
  </si>
  <si>
    <t>Male Pin</t>
  </si>
  <si>
    <t>SimCard Adapter</t>
  </si>
  <si>
    <t xml:space="preserve">4in1 Adapter Converter
</t>
  </si>
  <si>
    <t>MCP2515 CAN BUS</t>
  </si>
  <si>
    <t>TJA1050 MODULE RECEIVER</t>
  </si>
  <si>
    <t>Battery Percentage IC</t>
  </si>
  <si>
    <t>max17048 fuel gauge</t>
  </si>
  <si>
    <t>USB to PCB Adapter Converter</t>
  </si>
  <si>
    <t>Type A male</t>
  </si>
  <si>
    <t>Micro usb female</t>
  </si>
  <si>
    <t>Solar Charger Module</t>
  </si>
  <si>
    <t>CN3791 6V</t>
  </si>
  <si>
    <t>1S 6V</t>
  </si>
  <si>
    <t>Batttery Holder</t>
  </si>
  <si>
    <t>3 Parallel</t>
  </si>
  <si>
    <t>Solar Panel</t>
  </si>
  <si>
    <t>Monocrystalline 6W 6V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</si>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</sst>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Rp]#,##0"/>
  </numFmts>
  <fonts count="10" x14ac:knownFonts="1">
    <font>
      <sz val="10"/>
      <color rgb="FF000000"/>
      <name val="Arial"/>
      <scheme val="minor"/>
    </font>
    <font>
      <b/>
      <sz val="12"/>
      <color theme="1"/>
      <name val="Roboto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b/>
      <sz val="10"/>
      <color rgb="FF434343"/>
      <name val="Roboto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5DFD7"/>
        <bgColor rgb="FFD5DFD7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wrapText="1"/>
    </xf>
    <xf numFmtId="164" fontId="8" fillId="2" borderId="8" xfId="0" applyNumberFormat="1" applyFont="1" applyFill="1" applyBorder="1" applyAlignment="1">
      <alignment horizontal="center" wrapText="1"/>
    </xf>
    <xf numFmtId="164" fontId="8" fillId="2" borderId="9" xfId="0" applyNumberFormat="1" applyFont="1" applyFill="1" applyBorder="1" applyAlignment="1">
      <alignment horizontal="center" wrapText="1"/>
    </xf>
    <xf numFmtId="164" fontId="8" fillId="2" borderId="10" xfId="0" applyNumberFormat="1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8" fillId="2" borderId="6" xfId="0" applyFont="1" applyFill="1" applyBorder="1" applyAlignment="1">
      <alignment horizontal="center" wrapText="1"/>
    </xf>
    <xf numFmtId="0" fontId="9" fillId="0" borderId="7" xfId="0" applyFont="1" applyBorder="1"/>
  </cellXfs>
  <cellStyles count="1">
    <cellStyle name="Normal" xfId="0" builtinId="0"/>
  </cellStyles>
  <dxfs count="4"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</dxfs>
  <tableStyles count="1">
    <tableStyle name="BOM_V2X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M" displayName="BOM" ref="A1:K25">
  <tableColumns count="11">
    <tableColumn id="1" xr3:uid="{00000000-0010-0000-0000-000001000000}" name="Item Description"/>
    <tableColumn id="2" xr3:uid="{00000000-0010-0000-0000-000002000000}" name="Part Number"/>
    <tableColumn id="3" xr3:uid="{00000000-0010-0000-0000-000003000000}" name="Quantity Required"/>
    <tableColumn id="4" xr3:uid="{00000000-0010-0000-0000-000004000000}" name="Unit Cost (Rupiah)"/>
    <tableColumn id="5" xr3:uid="{00000000-0010-0000-0000-000005000000}" name="Total Cost (Rupiah)"/>
    <tableColumn id="6" xr3:uid="{00000000-0010-0000-0000-000006000000}" name="Discount Applied"/>
    <tableColumn id="7" xr3:uid="{00000000-0010-0000-0000-000007000000}" name="Extra Fees (Net Shipping + Insurance + App Fees)"/>
    <tableColumn id="8" xr3:uid="{00000000-0010-0000-0000-000008000000}" name="Final Total Paid"/>
    <tableColumn id="9" xr3:uid="{00000000-0010-0000-0000-000009000000}" name="Status"/>
    <tableColumn id="10" xr3:uid="{00000000-0010-0000-0000-00000A000000}" name="Supplier Contact"/>
    <tableColumn id="11" xr3:uid="{00000000-0010-0000-0000-00000B000000}" name="Notes"/>
  </tableColumns>
  <tableStyleInfo name="BOM_V2X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k.tokopedia.com/ZSa9nBPbX/" TargetMode="External"/><Relationship Id="rId13" Type="http://schemas.openxmlformats.org/officeDocument/2006/relationships/hyperlink" Target="https://tk.tokopedia.com/ZSaKtUrbk/" TargetMode="External"/><Relationship Id="rId18" Type="http://schemas.openxmlformats.org/officeDocument/2006/relationships/hyperlink" Target="https://tk.tokopedia.com/ZSm5p7UyB/" TargetMode="External"/><Relationship Id="rId3" Type="http://schemas.openxmlformats.org/officeDocument/2006/relationships/hyperlink" Target="https://tk.tokopedia.com/ZSfp1tAes/" TargetMode="External"/><Relationship Id="rId21" Type="http://schemas.openxmlformats.org/officeDocument/2006/relationships/hyperlink" Target="https://tk.tokopedia.com/ZSmEd4gWP/" TargetMode="External"/><Relationship Id="rId7" Type="http://schemas.openxmlformats.org/officeDocument/2006/relationships/hyperlink" Target="https://tk.tokopedia.com/ZSf29oko9/" TargetMode="External"/><Relationship Id="rId12" Type="http://schemas.openxmlformats.org/officeDocument/2006/relationships/hyperlink" Target="https://tk.tokopedia.com/ZSaKtJ2Lj/" TargetMode="External"/><Relationship Id="rId17" Type="http://schemas.openxmlformats.org/officeDocument/2006/relationships/hyperlink" Target="https://tk.tokopedia.com/ZSm25MkvM/" TargetMode="External"/><Relationship Id="rId25" Type="http://schemas.openxmlformats.org/officeDocument/2006/relationships/table" Target="../tables/table1.xml"/><Relationship Id="rId2" Type="http://schemas.openxmlformats.org/officeDocument/2006/relationships/hyperlink" Target="https://tk.tokopedia.com/ZSfp1DeVe/" TargetMode="External"/><Relationship Id="rId16" Type="http://schemas.openxmlformats.org/officeDocument/2006/relationships/hyperlink" Target="https://tk.tokopedia.com/ZSm25MExU/" TargetMode="External"/><Relationship Id="rId20" Type="http://schemas.openxmlformats.org/officeDocument/2006/relationships/hyperlink" Target="https://tk.tokopedia.com/ZSmGLt7tT/" TargetMode="External"/><Relationship Id="rId1" Type="http://schemas.openxmlformats.org/officeDocument/2006/relationships/hyperlink" Target="https://tk.tokopedia.com/ZSfgoCee6/" TargetMode="External"/><Relationship Id="rId6" Type="http://schemas.openxmlformats.org/officeDocument/2006/relationships/hyperlink" Target="https://tk.tokopedia.com/ZSfdGfW5q/" TargetMode="External"/><Relationship Id="rId11" Type="http://schemas.openxmlformats.org/officeDocument/2006/relationships/hyperlink" Target="https://tk.tokopedia.com/ZSaKVb5kC/" TargetMode="External"/><Relationship Id="rId24" Type="http://schemas.openxmlformats.org/officeDocument/2006/relationships/hyperlink" Target="https://tk.tokopedia.com/ZSu1tXaTV/" TargetMode="External"/><Relationship Id="rId5" Type="http://schemas.openxmlformats.org/officeDocument/2006/relationships/hyperlink" Target="https://tk.tokopedia.com/ZSfpJC2EK/" TargetMode="External"/><Relationship Id="rId15" Type="http://schemas.openxmlformats.org/officeDocument/2006/relationships/hyperlink" Target="https://tk.tokopedia.com/ZSmFnhvda/" TargetMode="External"/><Relationship Id="rId23" Type="http://schemas.openxmlformats.org/officeDocument/2006/relationships/hyperlink" Target="https://tk.tokopedia.com/ZSmEdcJSM/" TargetMode="External"/><Relationship Id="rId10" Type="http://schemas.openxmlformats.org/officeDocument/2006/relationships/hyperlink" Target="https://tk.tokopedia.com/ZSaKVy7vN/" TargetMode="External"/><Relationship Id="rId19" Type="http://schemas.openxmlformats.org/officeDocument/2006/relationships/hyperlink" Target="https://tk.tokopedia.com/ZSmGL3P6a/" TargetMode="External"/><Relationship Id="rId4" Type="http://schemas.openxmlformats.org/officeDocument/2006/relationships/hyperlink" Target="https://tk.tokopedia.com/ZSfp19rLS/" TargetMode="External"/><Relationship Id="rId9" Type="http://schemas.openxmlformats.org/officeDocument/2006/relationships/hyperlink" Target="https://tk.tokopedia.com/ZSaKVj4YU/" TargetMode="External"/><Relationship Id="rId14" Type="http://schemas.openxmlformats.org/officeDocument/2006/relationships/hyperlink" Target="https://tk.tokopedia.com/ZSaKn94mj/" TargetMode="External"/><Relationship Id="rId22" Type="http://schemas.openxmlformats.org/officeDocument/2006/relationships/hyperlink" Target="https://tk.tokopedia.com/ZSu1Qhy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27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35.90625" customWidth="1"/>
    <col min="2" max="2" width="20.90625" customWidth="1"/>
    <col min="3" max="3" width="23.6328125" customWidth="1"/>
    <col min="4" max="5" width="20.08984375" customWidth="1"/>
    <col min="6" max="6" width="24" customWidth="1"/>
    <col min="7" max="7" width="28.6328125" customWidth="1"/>
    <col min="8" max="8" width="22.6328125" customWidth="1"/>
    <col min="9" max="9" width="25.6328125" customWidth="1"/>
    <col min="10" max="10" width="23.453125" customWidth="1"/>
    <col min="11" max="11" width="53.6328125" customWidth="1"/>
  </cols>
  <sheetData>
    <row r="1" spans="1:11" ht="40.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1" t="s">
        <v>8</v>
      </c>
      <c r="J1" s="1" t="s">
        <v>9</v>
      </c>
      <c r="K1" s="1" t="s">
        <v>10</v>
      </c>
    </row>
    <row r="2" spans="1:11" ht="22.5" customHeight="1" x14ac:dyDescent="0.25">
      <c r="A2" s="6" t="s">
        <v>11</v>
      </c>
      <c r="B2" s="7" t="s">
        <v>12</v>
      </c>
      <c r="C2" s="7">
        <v>1</v>
      </c>
      <c r="D2" s="8">
        <v>1196500</v>
      </c>
      <c r="E2" s="9">
        <f t="shared" ref="E2:E25" si="0">C2*D2</f>
        <v>1196500</v>
      </c>
      <c r="F2" s="10">
        <v>-59825</v>
      </c>
      <c r="G2" s="11">
        <v>7961</v>
      </c>
      <c r="H2" s="11">
        <v>1144636</v>
      </c>
      <c r="I2" s="12" t="s">
        <v>13</v>
      </c>
      <c r="J2" s="13" t="s">
        <v>14</v>
      </c>
      <c r="K2" s="14" t="s">
        <v>15</v>
      </c>
    </row>
    <row r="3" spans="1:11" ht="22.5" customHeight="1" x14ac:dyDescent="0.25">
      <c r="A3" s="15" t="s">
        <v>16</v>
      </c>
      <c r="B3" s="16" t="s">
        <v>17</v>
      </c>
      <c r="C3" s="16">
        <v>1</v>
      </c>
      <c r="D3" s="17">
        <v>48500</v>
      </c>
      <c r="E3" s="10">
        <f t="shared" si="0"/>
        <v>48500</v>
      </c>
      <c r="F3" s="10">
        <v>-2425</v>
      </c>
      <c r="G3" s="11">
        <v>423</v>
      </c>
      <c r="H3" s="11">
        <v>46498</v>
      </c>
      <c r="I3" s="12" t="s">
        <v>13</v>
      </c>
      <c r="J3" s="18" t="s">
        <v>14</v>
      </c>
      <c r="K3" s="14" t="s">
        <v>18</v>
      </c>
    </row>
    <row r="4" spans="1:11" ht="22.5" customHeight="1" x14ac:dyDescent="0.25">
      <c r="A4" s="15" t="s">
        <v>19</v>
      </c>
      <c r="B4" s="16" t="s">
        <v>20</v>
      </c>
      <c r="C4" s="16">
        <v>1</v>
      </c>
      <c r="D4" s="17">
        <v>790440</v>
      </c>
      <c r="E4" s="10">
        <f t="shared" si="0"/>
        <v>790440</v>
      </c>
      <c r="F4" s="10">
        <v>-39522</v>
      </c>
      <c r="G4" s="11">
        <v>16770</v>
      </c>
      <c r="H4" s="11">
        <v>767688</v>
      </c>
      <c r="I4" s="12" t="s">
        <v>13</v>
      </c>
      <c r="J4" s="18" t="s">
        <v>14</v>
      </c>
      <c r="K4" s="14" t="s">
        <v>21</v>
      </c>
    </row>
    <row r="5" spans="1:11" ht="22.5" customHeight="1" x14ac:dyDescent="0.25">
      <c r="A5" s="15" t="s">
        <v>22</v>
      </c>
      <c r="B5" s="16" t="s">
        <v>23</v>
      </c>
      <c r="C5" s="16">
        <v>2</v>
      </c>
      <c r="D5" s="17">
        <v>6500</v>
      </c>
      <c r="E5" s="10">
        <f t="shared" si="0"/>
        <v>13000</v>
      </c>
      <c r="F5" s="10">
        <v>-700</v>
      </c>
      <c r="G5" s="11">
        <v>7206</v>
      </c>
      <c r="H5" s="11">
        <v>20506</v>
      </c>
      <c r="I5" s="12" t="s">
        <v>13</v>
      </c>
      <c r="J5" s="18" t="s">
        <v>14</v>
      </c>
      <c r="K5" s="14" t="s">
        <v>24</v>
      </c>
    </row>
    <row r="6" spans="1:11" ht="22.5" customHeight="1" x14ac:dyDescent="0.25">
      <c r="A6" s="15" t="s">
        <v>25</v>
      </c>
      <c r="B6" s="16" t="s">
        <v>26</v>
      </c>
      <c r="C6" s="16">
        <v>1</v>
      </c>
      <c r="D6" s="17">
        <v>37200</v>
      </c>
      <c r="E6" s="10">
        <f t="shared" si="0"/>
        <v>37200</v>
      </c>
      <c r="F6" s="10">
        <v>-1860</v>
      </c>
      <c r="G6" s="11">
        <v>317</v>
      </c>
      <c r="H6" s="11">
        <v>35657</v>
      </c>
      <c r="I6" s="12" t="s">
        <v>13</v>
      </c>
      <c r="J6" s="18" t="s">
        <v>14</v>
      </c>
      <c r="K6" s="14" t="s">
        <v>27</v>
      </c>
    </row>
    <row r="7" spans="1:11" ht="22.5" customHeight="1" x14ac:dyDescent="0.25">
      <c r="A7" s="15" t="s">
        <v>28</v>
      </c>
      <c r="B7" s="16" t="s">
        <v>29</v>
      </c>
      <c r="C7" s="16">
        <v>1</v>
      </c>
      <c r="D7" s="17">
        <v>14000</v>
      </c>
      <c r="E7" s="10">
        <f t="shared" si="0"/>
        <v>14000</v>
      </c>
      <c r="F7" s="10">
        <v>-1250</v>
      </c>
      <c r="G7" s="11">
        <v>11312</v>
      </c>
      <c r="H7" s="11">
        <v>35062</v>
      </c>
      <c r="I7" s="12" t="s">
        <v>13</v>
      </c>
      <c r="J7" s="18" t="s">
        <v>14</v>
      </c>
      <c r="K7" s="14" t="s">
        <v>30</v>
      </c>
    </row>
    <row r="8" spans="1:11" ht="22.5" customHeight="1" x14ac:dyDescent="0.25">
      <c r="A8" s="15" t="s">
        <v>31</v>
      </c>
      <c r="B8" s="16" t="s">
        <v>32</v>
      </c>
      <c r="C8" s="16">
        <v>1</v>
      </c>
      <c r="D8" s="17">
        <v>24000</v>
      </c>
      <c r="E8" s="10">
        <f t="shared" si="0"/>
        <v>24000</v>
      </c>
      <c r="F8" s="10">
        <v>-1200</v>
      </c>
      <c r="G8" s="11">
        <v>9811</v>
      </c>
      <c r="H8" s="11">
        <v>32611</v>
      </c>
      <c r="I8" s="12" t="s">
        <v>13</v>
      </c>
      <c r="J8" s="18" t="s">
        <v>14</v>
      </c>
      <c r="K8" s="14" t="s">
        <v>33</v>
      </c>
    </row>
    <row r="9" spans="1:11" ht="22.5" customHeight="1" x14ac:dyDescent="0.25">
      <c r="A9" s="15" t="s">
        <v>34</v>
      </c>
      <c r="B9" s="16" t="s">
        <v>34</v>
      </c>
      <c r="C9" s="16">
        <v>2</v>
      </c>
      <c r="D9" s="17">
        <v>3500</v>
      </c>
      <c r="E9" s="10">
        <f t="shared" si="0"/>
        <v>7000</v>
      </c>
      <c r="F9" s="10">
        <v>-1748</v>
      </c>
      <c r="G9" s="11">
        <v>0</v>
      </c>
      <c r="H9" s="11">
        <v>5252</v>
      </c>
      <c r="I9" s="12" t="s">
        <v>13</v>
      </c>
      <c r="J9" s="19" t="s">
        <v>14</v>
      </c>
      <c r="K9" s="14" t="s">
        <v>35</v>
      </c>
    </row>
    <row r="10" spans="1:11" ht="22.5" customHeight="1" x14ac:dyDescent="0.25">
      <c r="A10" s="15" t="s">
        <v>34</v>
      </c>
      <c r="B10" s="16" t="s">
        <v>36</v>
      </c>
      <c r="C10" s="16">
        <v>2</v>
      </c>
      <c r="D10" s="17">
        <v>3600</v>
      </c>
      <c r="E10" s="10">
        <f t="shared" si="0"/>
        <v>7200</v>
      </c>
      <c r="F10" s="10">
        <v>-4771</v>
      </c>
      <c r="G10" s="11">
        <v>7597</v>
      </c>
      <c r="H10" s="11">
        <v>14529</v>
      </c>
      <c r="I10" s="12" t="s">
        <v>13</v>
      </c>
      <c r="J10" s="19" t="s">
        <v>14</v>
      </c>
      <c r="K10" s="14" t="s">
        <v>37</v>
      </c>
    </row>
    <row r="11" spans="1:11" ht="22.5" customHeight="1" x14ac:dyDescent="0.25">
      <c r="A11" s="15" t="s">
        <v>38</v>
      </c>
      <c r="B11" s="16" t="s">
        <v>39</v>
      </c>
      <c r="C11" s="16">
        <v>2</v>
      </c>
      <c r="D11" s="17">
        <v>7500</v>
      </c>
      <c r="E11" s="10">
        <f t="shared" si="0"/>
        <v>15000</v>
      </c>
      <c r="F11" s="10">
        <v>-3747</v>
      </c>
      <c r="G11" s="11">
        <v>11700</v>
      </c>
      <c r="H11" s="11">
        <v>22953</v>
      </c>
      <c r="I11" s="12" t="s">
        <v>13</v>
      </c>
      <c r="J11" s="19" t="s">
        <v>14</v>
      </c>
      <c r="K11" s="14" t="s">
        <v>40</v>
      </c>
    </row>
    <row r="12" spans="1:11" ht="22.5" customHeight="1" x14ac:dyDescent="0.25">
      <c r="A12" s="15" t="s">
        <v>41</v>
      </c>
      <c r="B12" s="16" t="s">
        <v>42</v>
      </c>
      <c r="C12" s="16">
        <v>1</v>
      </c>
      <c r="D12" s="17">
        <v>29000</v>
      </c>
      <c r="E12" s="10">
        <f t="shared" si="0"/>
        <v>29000</v>
      </c>
      <c r="F12" s="10">
        <v>-7244</v>
      </c>
      <c r="G12" s="11">
        <v>11800</v>
      </c>
      <c r="H12" s="11">
        <v>33556</v>
      </c>
      <c r="I12" s="12" t="s">
        <v>13</v>
      </c>
      <c r="J12" s="19" t="s">
        <v>14</v>
      </c>
      <c r="K12" s="14" t="s">
        <v>43</v>
      </c>
    </row>
    <row r="13" spans="1:11" ht="22.5" customHeight="1" x14ac:dyDescent="0.25">
      <c r="A13" s="15" t="s">
        <v>44</v>
      </c>
      <c r="B13" s="16" t="s">
        <v>45</v>
      </c>
      <c r="C13" s="16">
        <v>2</v>
      </c>
      <c r="D13" s="17">
        <v>11900</v>
      </c>
      <c r="E13" s="10">
        <f t="shared" si="0"/>
        <v>23800</v>
      </c>
      <c r="F13" s="10">
        <v>0</v>
      </c>
      <c r="G13" s="11">
        <v>0</v>
      </c>
      <c r="H13" s="11">
        <v>14529</v>
      </c>
      <c r="I13" s="12" t="s">
        <v>13</v>
      </c>
      <c r="J13" s="19" t="s">
        <v>14</v>
      </c>
      <c r="K13" s="14" t="s">
        <v>46</v>
      </c>
    </row>
    <row r="14" spans="1:11" ht="22.5" customHeight="1" x14ac:dyDescent="0.25">
      <c r="A14" s="20" t="s">
        <v>47</v>
      </c>
      <c r="B14" s="16" t="s">
        <v>48</v>
      </c>
      <c r="C14" s="16">
        <v>1</v>
      </c>
      <c r="D14" s="17">
        <v>20000</v>
      </c>
      <c r="E14" s="10">
        <f t="shared" si="0"/>
        <v>20000</v>
      </c>
      <c r="F14" s="10">
        <v>0</v>
      </c>
      <c r="G14" s="11">
        <v>1620</v>
      </c>
      <c r="H14" s="11">
        <v>21620</v>
      </c>
      <c r="I14" s="12" t="s">
        <v>13</v>
      </c>
      <c r="J14" s="19" t="s">
        <v>14</v>
      </c>
      <c r="K14" s="14" t="s">
        <v>49</v>
      </c>
    </row>
    <row r="15" spans="1:11" ht="22.5" customHeight="1" x14ac:dyDescent="0.25">
      <c r="A15" s="20" t="s">
        <v>50</v>
      </c>
      <c r="B15" s="16" t="s">
        <v>51</v>
      </c>
      <c r="C15" s="16">
        <v>2</v>
      </c>
      <c r="D15" s="17">
        <v>3000</v>
      </c>
      <c r="E15" s="10">
        <f t="shared" si="0"/>
        <v>6000</v>
      </c>
      <c r="F15" s="10">
        <v>0</v>
      </c>
      <c r="G15" s="11">
        <v>12297</v>
      </c>
      <c r="H15" s="11">
        <v>18297</v>
      </c>
      <c r="I15" s="12" t="s">
        <v>13</v>
      </c>
      <c r="J15" s="19" t="s">
        <v>14</v>
      </c>
      <c r="K15" s="14" t="s">
        <v>52</v>
      </c>
    </row>
    <row r="16" spans="1:11" ht="22.5" customHeight="1" x14ac:dyDescent="0.25">
      <c r="A16" s="15" t="s">
        <v>53</v>
      </c>
      <c r="B16" s="16" t="s">
        <v>54</v>
      </c>
      <c r="C16" s="16">
        <v>1</v>
      </c>
      <c r="D16" s="17">
        <v>47000</v>
      </c>
      <c r="E16" s="10">
        <f t="shared" si="0"/>
        <v>47000</v>
      </c>
      <c r="F16" s="10">
        <v>0</v>
      </c>
      <c r="G16" s="11">
        <v>13518</v>
      </c>
      <c r="H16" s="11">
        <v>60518</v>
      </c>
      <c r="I16" s="12" t="s">
        <v>13</v>
      </c>
      <c r="J16" s="19" t="s">
        <v>14</v>
      </c>
      <c r="K16" s="14"/>
    </row>
    <row r="17" spans="1:11" ht="22.5" customHeight="1" x14ac:dyDescent="0.25">
      <c r="A17" s="20" t="s">
        <v>55</v>
      </c>
      <c r="B17" s="16" t="s">
        <v>56</v>
      </c>
      <c r="C17" s="16">
        <v>1</v>
      </c>
      <c r="D17" s="17">
        <v>5900</v>
      </c>
      <c r="E17" s="10">
        <f t="shared" si="0"/>
        <v>5900</v>
      </c>
      <c r="F17" s="10">
        <v>0</v>
      </c>
      <c r="G17" s="11">
        <v>10165</v>
      </c>
      <c r="H17" s="11">
        <v>16065</v>
      </c>
      <c r="I17" s="12" t="s">
        <v>13</v>
      </c>
      <c r="J17" s="19" t="s">
        <v>14</v>
      </c>
      <c r="K17" s="14"/>
    </row>
    <row r="18" spans="1:11" ht="22.5" customHeight="1" x14ac:dyDescent="0.25">
      <c r="A18" s="20" t="s">
        <v>57</v>
      </c>
      <c r="B18" s="16" t="s">
        <v>58</v>
      </c>
      <c r="C18" s="16">
        <v>1</v>
      </c>
      <c r="D18" s="17">
        <v>24500</v>
      </c>
      <c r="E18" s="10">
        <f t="shared" si="0"/>
        <v>24500</v>
      </c>
      <c r="F18" s="10">
        <v>0</v>
      </c>
      <c r="G18" s="11">
        <v>11300</v>
      </c>
      <c r="H18" s="11">
        <v>35800</v>
      </c>
      <c r="I18" s="12" t="s">
        <v>13</v>
      </c>
      <c r="J18" s="19" t="s">
        <v>14</v>
      </c>
      <c r="K18" s="14"/>
    </row>
    <row r="19" spans="1:11" ht="22.5" customHeight="1" x14ac:dyDescent="0.25">
      <c r="A19" s="20" t="s">
        <v>59</v>
      </c>
      <c r="B19" s="16" t="s">
        <v>60</v>
      </c>
      <c r="C19" s="16">
        <v>1</v>
      </c>
      <c r="D19" s="17">
        <v>63000</v>
      </c>
      <c r="E19" s="10">
        <f t="shared" si="0"/>
        <v>63000</v>
      </c>
      <c r="F19" s="10">
        <v>0</v>
      </c>
      <c r="G19" s="11">
        <v>12000</v>
      </c>
      <c r="H19" s="11">
        <v>75000</v>
      </c>
      <c r="I19" s="12" t="s">
        <v>13</v>
      </c>
      <c r="J19" s="19" t="s">
        <v>14</v>
      </c>
      <c r="K19" s="14"/>
    </row>
    <row r="20" spans="1:11" ht="22.5" customHeight="1" x14ac:dyDescent="0.25">
      <c r="A20" s="20" t="s">
        <v>61</v>
      </c>
      <c r="B20" s="16" t="s">
        <v>62</v>
      </c>
      <c r="C20" s="16">
        <v>3</v>
      </c>
      <c r="D20" s="17">
        <v>1990</v>
      </c>
      <c r="E20" s="10">
        <f t="shared" si="0"/>
        <v>5970</v>
      </c>
      <c r="F20" s="10">
        <v>0</v>
      </c>
      <c r="G20" s="11">
        <v>20200</v>
      </c>
      <c r="H20" s="11">
        <v>30640</v>
      </c>
      <c r="I20" s="12" t="s">
        <v>13</v>
      </c>
      <c r="J20" s="19" t="s">
        <v>14</v>
      </c>
      <c r="K20" s="14"/>
    </row>
    <row r="21" spans="1:11" ht="22.5" customHeight="1" x14ac:dyDescent="0.25">
      <c r="A21" s="20" t="s">
        <v>61</v>
      </c>
      <c r="B21" s="16" t="s">
        <v>63</v>
      </c>
      <c r="C21" s="16">
        <v>3</v>
      </c>
      <c r="D21" s="17">
        <v>1990</v>
      </c>
      <c r="E21" s="10">
        <f t="shared" si="0"/>
        <v>5970</v>
      </c>
      <c r="F21" s="10">
        <v>0</v>
      </c>
      <c r="G21" s="11">
        <v>0</v>
      </c>
      <c r="H21" s="11">
        <v>0</v>
      </c>
      <c r="I21" s="12" t="s">
        <v>13</v>
      </c>
      <c r="J21" s="19" t="s">
        <v>14</v>
      </c>
      <c r="K21" s="14"/>
    </row>
    <row r="22" spans="1:11" ht="22.5" customHeight="1" x14ac:dyDescent="0.25">
      <c r="A22" s="20" t="s">
        <v>64</v>
      </c>
      <c r="B22" s="16" t="s">
        <v>65</v>
      </c>
      <c r="C22" s="16">
        <v>1</v>
      </c>
      <c r="D22" s="17">
        <v>38000</v>
      </c>
      <c r="E22" s="10">
        <f t="shared" si="0"/>
        <v>38000</v>
      </c>
      <c r="F22" s="10">
        <v>-4180</v>
      </c>
      <c r="G22" s="11">
        <v>3547</v>
      </c>
      <c r="H22" s="11">
        <v>37367</v>
      </c>
      <c r="I22" s="12" t="s">
        <v>13</v>
      </c>
      <c r="J22" s="19" t="s">
        <v>14</v>
      </c>
      <c r="K22" s="14"/>
    </row>
    <row r="23" spans="1:11" ht="22.5" customHeight="1" x14ac:dyDescent="0.25">
      <c r="A23" s="20" t="s">
        <v>22</v>
      </c>
      <c r="B23" s="16" t="s">
        <v>66</v>
      </c>
      <c r="C23" s="16">
        <v>2</v>
      </c>
      <c r="D23" s="17">
        <v>5950</v>
      </c>
      <c r="E23" s="10">
        <f t="shared" si="0"/>
        <v>11900</v>
      </c>
      <c r="F23" s="10">
        <v>-1309</v>
      </c>
      <c r="G23" s="11">
        <v>20746</v>
      </c>
      <c r="H23" s="11">
        <v>31337</v>
      </c>
      <c r="I23" s="12" t="s">
        <v>13</v>
      </c>
      <c r="J23" s="19" t="s">
        <v>14</v>
      </c>
      <c r="K23" s="14"/>
    </row>
    <row r="24" spans="1:11" ht="22.5" customHeight="1" x14ac:dyDescent="0.25">
      <c r="A24" s="20" t="s">
        <v>67</v>
      </c>
      <c r="B24" s="16" t="s">
        <v>68</v>
      </c>
      <c r="C24" s="16">
        <v>1</v>
      </c>
      <c r="D24" s="17">
        <v>14000</v>
      </c>
      <c r="E24" s="10">
        <f t="shared" si="0"/>
        <v>14000</v>
      </c>
      <c r="F24" s="10">
        <v>-700</v>
      </c>
      <c r="G24" s="11">
        <v>2400</v>
      </c>
      <c r="H24" s="11">
        <v>15700</v>
      </c>
      <c r="I24" s="12" t="s">
        <v>13</v>
      </c>
      <c r="J24" s="19" t="s">
        <v>14</v>
      </c>
      <c r="K24" s="14"/>
    </row>
    <row r="25" spans="1:11" ht="22.5" customHeight="1" x14ac:dyDescent="0.25">
      <c r="A25" s="20" t="s">
        <v>69</v>
      </c>
      <c r="B25" s="16" t="s">
        <v>70</v>
      </c>
      <c r="C25" s="16">
        <v>1</v>
      </c>
      <c r="D25" s="17">
        <v>89000</v>
      </c>
      <c r="E25" s="10">
        <f t="shared" si="0"/>
        <v>89000</v>
      </c>
      <c r="F25" s="10">
        <v>0</v>
      </c>
      <c r="G25" s="11">
        <v>30200</v>
      </c>
      <c r="H25" s="11">
        <v>119200</v>
      </c>
      <c r="I25" s="12" t="s">
        <v>13</v>
      </c>
      <c r="J25" s="19" t="s">
        <v>14</v>
      </c>
      <c r="K25" s="14"/>
    </row>
    <row r="26" spans="1:11" ht="13" x14ac:dyDescent="0.3">
      <c r="A26" s="28" t="s">
        <v>71</v>
      </c>
      <c r="B26" s="29"/>
      <c r="C26" s="21">
        <f>SUM(C2:C25)</f>
        <v>35</v>
      </c>
      <c r="D26" s="21"/>
      <c r="E26" s="22">
        <f>SUM(E2:E25)</f>
        <v>2536880</v>
      </c>
      <c r="F26" s="23">
        <f>SUM(BOM[Discount Applied])</f>
        <v>-130481</v>
      </c>
      <c r="G26" s="24">
        <f>SUM(BOM[[#Data],[#Totals],[Extra Fees (Net Shipping + Insurance + App Fees)]])</f>
        <v>222890</v>
      </c>
      <c r="H26" s="24">
        <f>SUM(BOM[[#Data],[#Totals],[Final Total Paid]])</f>
        <v>2635021</v>
      </c>
      <c r="I26" s="25"/>
      <c r="J26" s="21"/>
      <c r="K26" s="21"/>
    </row>
    <row r="27" spans="1:11" ht="12.5" x14ac:dyDescent="0.25">
      <c r="A27" s="26"/>
      <c r="B27" s="26"/>
      <c r="C27" s="26"/>
      <c r="F27" s="26"/>
      <c r="H27" s="27">
        <f>H26-E26</f>
        <v>98141</v>
      </c>
      <c r="I27" s="26"/>
      <c r="J27" s="26"/>
    </row>
  </sheetData>
  <mergeCells count="1">
    <mergeCell ref="A26:B26"/>
  </mergeCells>
  <dataValidations count="3">
    <dataValidation type="list" allowBlank="1" sqref="I2:I25" xr:uid="{00000000-0002-0000-0000-000000000000}">
      <formula1>"Not started,Pending Purchase,Cancelled,Purchase Completed"</formula1>
    </dataValidation>
    <dataValidation allowBlank="1" showDropDown="1" sqref="A2:A25 J2:K25" xr:uid="{00000000-0002-0000-0000-000001000000}"/>
    <dataValidation type="custom" allowBlank="1" showDropDown="1" sqref="F2:H25" xr:uid="{00000000-0002-0000-0000-000002000000}">
      <formula1>AND(ISNUMBER(F2),(NOT(OR(NOT(ISERROR(DATEVALUE(F2))), AND(ISNUMBER(F2), LEFT(CELL("format", F2))="D")))))</formula1>
    </dataValidation>
  </dataValidations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</hyperlinks>
  <printOptions horizontalCentered="1" gridLines="1"/>
  <pageMargins left="0.7" right="0.7" top="0.75" bottom="0.75" header="0" footer="0"/>
  <pageSetup pageOrder="overThenDown" orientation="landscape" cellComments="atEnd"/>
  <tableParts count="1"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BOM_V2X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Youssef</cp:lastModifiedBy>
  <dcterms:modified xsi:type="dcterms:W3CDTF">2026-06-17T21:01:24Z</dcterms:modified>
</cp:coreProperties>
</file>